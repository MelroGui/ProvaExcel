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iM\ProvaSOP\"/>
    </mc:Choice>
  </mc:AlternateContent>
  <xr:revisionPtr revIDLastSave="0" documentId="8_{232706DD-C4C2-4259-9C26-41387C137154}" xr6:coauthVersionLast="47" xr6:coauthVersionMax="47" xr10:uidLastSave="{00000000-0000-0000-0000-000000000000}"/>
  <bookViews>
    <workbookView xWindow="3615" yWindow="5640" windowWidth="21600" windowHeight="9330" xr2:uid="{D8F2FCC9-BD7C-4166-8591-F1E1185FD5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K3" i="1"/>
  <c r="K5" i="1"/>
  <c r="K4" i="1"/>
  <c r="L4" i="1"/>
  <c r="L8" i="1"/>
  <c r="L7" i="1"/>
  <c r="L6" i="1"/>
  <c r="L5" i="1"/>
  <c r="L3" i="1"/>
  <c r="J5" i="1"/>
  <c r="J8" i="1"/>
  <c r="J7" i="1"/>
  <c r="J6" i="1"/>
  <c r="J4" i="1"/>
  <c r="J3" i="1"/>
  <c r="I5" i="1"/>
  <c r="I8" i="1"/>
  <c r="I6" i="1"/>
  <c r="I4" i="1"/>
  <c r="I7" i="1"/>
  <c r="I3" i="1"/>
</calcChain>
</file>

<file path=xl/sharedStrings.xml><?xml version="1.0" encoding="utf-8"?>
<sst xmlns="http://schemas.openxmlformats.org/spreadsheetml/2006/main" count="67" uniqueCount="49">
  <si>
    <t>Placa</t>
  </si>
  <si>
    <t>Marca</t>
  </si>
  <si>
    <t>Modelo</t>
  </si>
  <si>
    <t>Valor</t>
  </si>
  <si>
    <t>Fiat</t>
  </si>
  <si>
    <t>VW</t>
  </si>
  <si>
    <t>Chevrolet</t>
  </si>
  <si>
    <t>Audi</t>
  </si>
  <si>
    <t>Palio</t>
  </si>
  <si>
    <t>Gol</t>
  </si>
  <si>
    <t>Onix</t>
  </si>
  <si>
    <t>Uno</t>
  </si>
  <si>
    <t>Golf</t>
  </si>
  <si>
    <t>Sandero</t>
  </si>
  <si>
    <t>Toro</t>
  </si>
  <si>
    <t>A3</t>
  </si>
  <si>
    <t>Fox</t>
  </si>
  <si>
    <t>XDF5487</t>
  </si>
  <si>
    <t>XSD8A78</t>
  </si>
  <si>
    <t>SDF7985</t>
  </si>
  <si>
    <t>KJG4567</t>
  </si>
  <si>
    <t>KDF9877</t>
  </si>
  <si>
    <t>HHH8977</t>
  </si>
  <si>
    <t>HFD9878</t>
  </si>
  <si>
    <t>SDF7898</t>
  </si>
  <si>
    <t>DFG8987</t>
  </si>
  <si>
    <t>Vendedores</t>
  </si>
  <si>
    <t>Nome</t>
  </si>
  <si>
    <t>Tipo</t>
  </si>
  <si>
    <t>Mariana</t>
  </si>
  <si>
    <t>Juliana</t>
  </si>
  <si>
    <t>Marcelo</t>
  </si>
  <si>
    <t>Julia</t>
  </si>
  <si>
    <t>Classe A</t>
  </si>
  <si>
    <t>Classe B</t>
  </si>
  <si>
    <t>Tabela de automoveis</t>
  </si>
  <si>
    <t>Carros vendidos</t>
  </si>
  <si>
    <t xml:space="preserve">Ano </t>
  </si>
  <si>
    <t>Codigo de vendas</t>
  </si>
  <si>
    <t>XDF587</t>
  </si>
  <si>
    <t>SDF7897</t>
  </si>
  <si>
    <t>S10</t>
  </si>
  <si>
    <t>Renault</t>
  </si>
  <si>
    <t>Total</t>
  </si>
  <si>
    <t>Codigo</t>
  </si>
  <si>
    <t>Comissoo</t>
  </si>
  <si>
    <t>Comissoes</t>
  </si>
  <si>
    <t>Nome Vendedor</t>
  </si>
  <si>
    <t>Comissao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</si>
</sst>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C4DE-D06D-4182-A68D-4171979951B4}">
  <dimension ref="A1:M19"/>
  <sheetViews>
    <sheetView tabSelected="1" topLeftCell="C1" workbookViewId="0">
      <selection activeCell="M3" sqref="M3"/>
    </sheetView>
  </sheetViews>
  <sheetFormatPr defaultRowHeight="15" x14ac:dyDescent="0.25"/>
  <cols>
    <col min="1" max="1" width="20.7109375" bestFit="1" customWidth="1"/>
    <col min="2" max="2" width="9.7109375" bestFit="1" customWidth="1"/>
    <col min="3" max="3" width="8.28515625" bestFit="1" customWidth="1"/>
    <col min="6" max="6" width="10.42578125" bestFit="1" customWidth="1"/>
    <col min="7" max="7" width="15.28515625" bestFit="1" customWidth="1"/>
    <col min="8" max="8" width="16.7109375" bestFit="1" customWidth="1"/>
    <col min="9" max="9" width="15.85546875" bestFit="1" customWidth="1"/>
    <col min="10" max="10" width="9.7109375" bestFit="1" customWidth="1"/>
    <col min="12" max="12" width="7.5703125" customWidth="1"/>
    <col min="13" max="13" width="9.42578125" bestFit="1" customWidth="1"/>
  </cols>
  <sheetData>
    <row r="1" spans="1:13" x14ac:dyDescent="0.25">
      <c r="A1" s="1" t="s">
        <v>35</v>
      </c>
      <c r="B1" s="1"/>
      <c r="G1" t="s">
        <v>36</v>
      </c>
    </row>
    <row r="2" spans="1:13" x14ac:dyDescent="0.25">
      <c r="A2" t="s">
        <v>0</v>
      </c>
      <c r="B2" t="s">
        <v>1</v>
      </c>
      <c r="C2" t="s">
        <v>2</v>
      </c>
      <c r="D2" t="s">
        <v>37</v>
      </c>
      <c r="E2" t="s">
        <v>3</v>
      </c>
      <c r="G2" t="s">
        <v>0</v>
      </c>
      <c r="H2" t="s">
        <v>38</v>
      </c>
      <c r="I2" t="s">
        <v>47</v>
      </c>
      <c r="J2" t="s">
        <v>1</v>
      </c>
      <c r="K2" t="s">
        <v>2</v>
      </c>
      <c r="L2" t="s">
        <v>3</v>
      </c>
      <c r="M2" t="s">
        <v>48</v>
      </c>
    </row>
    <row r="3" spans="1:13" x14ac:dyDescent="0.25">
      <c r="A3" t="s">
        <v>17</v>
      </c>
      <c r="B3" t="s">
        <v>4</v>
      </c>
      <c r="C3" t="s">
        <v>8</v>
      </c>
      <c r="D3">
        <v>2010</v>
      </c>
      <c r="E3">
        <v>17000</v>
      </c>
      <c r="G3" t="s">
        <v>39</v>
      </c>
      <c r="H3">
        <v>2</v>
      </c>
      <c r="I3" t="str">
        <f>VLOOKUP(A17,A16:B19,2,FALSE)</f>
        <v>Juliana</v>
      </c>
      <c r="J3" t="str">
        <f>VLOOKUP(A3,A3:B12,2,FALSE)</f>
        <v>Fiat</v>
      </c>
      <c r="K3" t="str">
        <f>VLOOKUP(A3,A3:C12,3,FALSE)</f>
        <v>Palio</v>
      </c>
      <c r="L3">
        <f>VLOOKUP(A3,A3:E12,5,FALSE)</f>
        <v>17000</v>
      </c>
    </row>
    <row r="4" spans="1:13" x14ac:dyDescent="0.25">
      <c r="A4" t="s">
        <v>18</v>
      </c>
      <c r="B4" t="s">
        <v>5</v>
      </c>
      <c r="C4" t="s">
        <v>9</v>
      </c>
      <c r="D4">
        <v>1005</v>
      </c>
      <c r="E4">
        <v>185000</v>
      </c>
      <c r="G4" t="s">
        <v>40</v>
      </c>
      <c r="H4">
        <v>1</v>
      </c>
      <c r="I4" t="str">
        <f>VLOOKUP(A16,A16:B19,2,FALSE)</f>
        <v>Mariana</v>
      </c>
      <c r="J4" t="str">
        <f>VLOOKUP(A5,A3:B12,2,FALSE)</f>
        <v>Chevrolet</v>
      </c>
      <c r="K4" t="str">
        <f>VLOOKUP(A5,A3:C12,3,FALSE)</f>
        <v>Onix</v>
      </c>
      <c r="L4">
        <f>VLOOKUP(A5,A3:E12,5,FALSE)</f>
        <v>458000</v>
      </c>
    </row>
    <row r="5" spans="1:13" x14ac:dyDescent="0.25">
      <c r="A5" t="s">
        <v>40</v>
      </c>
      <c r="B5" t="s">
        <v>6</v>
      </c>
      <c r="C5" t="s">
        <v>10</v>
      </c>
      <c r="D5">
        <v>2002</v>
      </c>
      <c r="E5">
        <v>458000</v>
      </c>
      <c r="G5" t="s">
        <v>20</v>
      </c>
      <c r="H5">
        <v>3</v>
      </c>
      <c r="I5" t="str">
        <f>VLOOKUP(A18,A16:B19,2,FALSE)</f>
        <v>Marcelo</v>
      </c>
      <c r="J5" t="str">
        <f>VLOOKUP(A7,A3:B12,2,FALSE)</f>
        <v>VW</v>
      </c>
      <c r="K5" t="str">
        <f>VLOOKUP(A7,A3:C12,3,FALSE)</f>
        <v>Golf</v>
      </c>
      <c r="L5">
        <f>VLOOKUP(A7,A3:E12,5,FALSE)</f>
        <v>27800</v>
      </c>
    </row>
    <row r="6" spans="1:13" x14ac:dyDescent="0.25">
      <c r="A6" t="s">
        <v>19</v>
      </c>
      <c r="B6" t="s">
        <v>4</v>
      </c>
      <c r="C6" t="s">
        <v>11</v>
      </c>
      <c r="D6">
        <v>2015</v>
      </c>
      <c r="E6">
        <v>55300</v>
      </c>
      <c r="G6" t="s">
        <v>21</v>
      </c>
      <c r="H6">
        <v>1</v>
      </c>
      <c r="I6" t="str">
        <f>VLOOKUP(A16,A16:B19,2,FALSE)</f>
        <v>Mariana</v>
      </c>
      <c r="J6" t="str">
        <f>VLOOKUP(A8,A3:B12,2,FALSE)</f>
        <v>Chevrolet</v>
      </c>
      <c r="K6" t="str">
        <f>VLOOKUP(A8,A3:C12,3,FALSE)</f>
        <v>S10</v>
      </c>
      <c r="L6">
        <f>VLOOKUP(A8,A3:E12,5,FALSE)</f>
        <v>29300</v>
      </c>
    </row>
    <row r="7" spans="1:13" x14ac:dyDescent="0.25">
      <c r="A7" t="s">
        <v>20</v>
      </c>
      <c r="B7" t="s">
        <v>5</v>
      </c>
      <c r="C7" t="s">
        <v>12</v>
      </c>
      <c r="D7">
        <v>2010</v>
      </c>
      <c r="E7">
        <v>27800</v>
      </c>
      <c r="G7" t="s">
        <v>23</v>
      </c>
      <c r="H7">
        <v>2</v>
      </c>
      <c r="I7" t="str">
        <f>VLOOKUP(A17,A16:B19,2,FALSE)</f>
        <v>Juliana</v>
      </c>
      <c r="J7" t="str">
        <f>VLOOKUP(A10,A3:B12,2,FALSE)</f>
        <v>Fiat</v>
      </c>
      <c r="K7" t="str">
        <f>VLOOKUP(A10,A3:C12,3,FALSE)</f>
        <v>Toro</v>
      </c>
      <c r="L7">
        <f>VLOOKUP(A10,A3:E12,5,FALSE)</f>
        <v>95000</v>
      </c>
    </row>
    <row r="8" spans="1:13" x14ac:dyDescent="0.25">
      <c r="A8" t="s">
        <v>21</v>
      </c>
      <c r="B8" t="s">
        <v>6</v>
      </c>
      <c r="C8" t="s">
        <v>41</v>
      </c>
      <c r="D8">
        <v>2011</v>
      </c>
      <c r="E8">
        <v>29300</v>
      </c>
      <c r="G8" t="s">
        <v>23</v>
      </c>
      <c r="H8">
        <v>4</v>
      </c>
      <c r="I8" t="str">
        <f>VLOOKUP(A19,A16:B19,2,FALSE)</f>
        <v>Julia</v>
      </c>
      <c r="J8" t="str">
        <f>VLOOKUP(A10,A3:B12,2,FALSE)</f>
        <v>Fiat</v>
      </c>
      <c r="K8" t="str">
        <f>VLOOKUP(A10,A3:C12,3,FALSE)</f>
        <v>Toro</v>
      </c>
      <c r="L8">
        <f>VLOOKUP(A10,A4:E13,5,FALSE)</f>
        <v>95000</v>
      </c>
    </row>
    <row r="9" spans="1:13" x14ac:dyDescent="0.25">
      <c r="A9" t="s">
        <v>22</v>
      </c>
      <c r="B9" t="s">
        <v>42</v>
      </c>
      <c r="C9" t="s">
        <v>13</v>
      </c>
      <c r="D9">
        <v>2001</v>
      </c>
      <c r="E9">
        <v>15400</v>
      </c>
    </row>
    <row r="10" spans="1:13" x14ac:dyDescent="0.25">
      <c r="A10" t="s">
        <v>23</v>
      </c>
      <c r="B10" t="s">
        <v>4</v>
      </c>
      <c r="C10" t="s">
        <v>14</v>
      </c>
      <c r="D10">
        <v>2018</v>
      </c>
      <c r="E10">
        <v>95000</v>
      </c>
    </row>
    <row r="11" spans="1:13" x14ac:dyDescent="0.25">
      <c r="A11" t="s">
        <v>24</v>
      </c>
      <c r="B11" t="s">
        <v>7</v>
      </c>
      <c r="C11" t="s">
        <v>15</v>
      </c>
      <c r="D11">
        <v>2010</v>
      </c>
      <c r="E11">
        <v>33200</v>
      </c>
    </row>
    <row r="12" spans="1:13" x14ac:dyDescent="0.25">
      <c r="A12" t="s">
        <v>25</v>
      </c>
      <c r="B12" t="s">
        <v>5</v>
      </c>
      <c r="C12" t="s">
        <v>16</v>
      </c>
      <c r="D12">
        <v>2015</v>
      </c>
      <c r="E12">
        <v>25600</v>
      </c>
    </row>
    <row r="14" spans="1:13" x14ac:dyDescent="0.25">
      <c r="A14" s="1" t="s">
        <v>26</v>
      </c>
      <c r="B14" s="1"/>
    </row>
    <row r="15" spans="1:13" x14ac:dyDescent="0.25">
      <c r="A15" s="1" t="s">
        <v>44</v>
      </c>
      <c r="B15" t="s">
        <v>27</v>
      </c>
      <c r="C15" t="s">
        <v>28</v>
      </c>
      <c r="D15" s="1" t="s">
        <v>43</v>
      </c>
      <c r="E15" s="1" t="s">
        <v>45</v>
      </c>
      <c r="G15" t="s">
        <v>46</v>
      </c>
    </row>
    <row r="16" spans="1:13" x14ac:dyDescent="0.25">
      <c r="A16">
        <v>1</v>
      </c>
      <c r="B16" t="s">
        <v>29</v>
      </c>
      <c r="C16" t="s">
        <v>33</v>
      </c>
      <c r="G16" s="2" t="s">
        <v>33</v>
      </c>
      <c r="H16" s="2">
        <v>0.1</v>
      </c>
    </row>
    <row r="17" spans="1:8" x14ac:dyDescent="0.25">
      <c r="A17">
        <v>2</v>
      </c>
      <c r="B17" t="s">
        <v>30</v>
      </c>
      <c r="C17" t="s">
        <v>33</v>
      </c>
      <c r="G17" s="2" t="s">
        <v>34</v>
      </c>
      <c r="H17" s="2">
        <v>0.05</v>
      </c>
    </row>
    <row r="18" spans="1:8" x14ac:dyDescent="0.25">
      <c r="A18">
        <v>3</v>
      </c>
      <c r="B18" t="s">
        <v>31</v>
      </c>
      <c r="C18" t="s">
        <v>34</v>
      </c>
    </row>
    <row r="19" spans="1:8" x14ac:dyDescent="0.25">
      <c r="A19">
        <v>4</v>
      </c>
      <c r="B19" t="s">
        <v>32</v>
      </c>
      <c r="C19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</dc:creator>
  <cp:lastModifiedBy>desenvolvimento</cp:lastModifiedBy>
  <dcterms:created xsi:type="dcterms:W3CDTF">2022-06-09T12:08:07Z</dcterms:created>
  <dcterms:modified xsi:type="dcterms:W3CDTF">2022-06-09T13:10:39Z</dcterms:modified>
</cp:coreProperties>
</file>